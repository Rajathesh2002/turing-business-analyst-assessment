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ajathesh\Downloads\"/>
    </mc:Choice>
  </mc:AlternateContent>
  <xr:revisionPtr revIDLastSave="0" documentId="13_ncr:1_{0D045672-E2E0-4848-AAEE-FBBABE4D9DC3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Sheet1" sheetId="4" r:id="rId1"/>
    <sheet name="Sheet2" sheetId="5" r:id="rId2"/>
    <sheet name="Raw_Invoices" sheetId="1" r:id="rId3"/>
    <sheet name="Submission_Report" sheetId="2" r:id="rId4"/>
    <sheet name="Dashboard" sheetId="3" r:id="rId5"/>
  </sheets>
  <calcPr calcId="191029"/>
  <pivotCaches>
    <pivotCache cacheId="10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2" l="1"/>
  <c r="I9" i="2"/>
  <c r="I8" i="2"/>
  <c r="I7" i="2"/>
  <c r="I6" i="2"/>
  <c r="I5" i="2"/>
  <c r="I4" i="2"/>
  <c r="I3" i="2"/>
  <c r="I2" i="2"/>
  <c r="I13" i="1"/>
  <c r="I12" i="1"/>
  <c r="I3" i="1"/>
  <c r="I4" i="1"/>
  <c r="I5" i="1"/>
  <c r="I6" i="1"/>
  <c r="I7" i="1"/>
  <c r="I8" i="1"/>
  <c r="I9" i="1"/>
  <c r="I10" i="1"/>
  <c r="I11" i="1"/>
  <c r="I2" i="1"/>
  <c r="A24" i="3"/>
  <c r="C3" i="3"/>
  <c r="B3" i="3"/>
  <c r="A3" i="3"/>
</calcChain>
</file>

<file path=xl/sharedStrings.xml><?xml version="1.0" encoding="utf-8"?>
<sst xmlns="http://schemas.openxmlformats.org/spreadsheetml/2006/main" count="167" uniqueCount="63">
  <si>
    <t>Invoice_ID</t>
  </si>
  <si>
    <t>Date</t>
  </si>
  <si>
    <t>Dealer_ID</t>
  </si>
  <si>
    <t>VIN</t>
  </si>
  <si>
    <t>Part_Code</t>
  </si>
  <si>
    <t>Part_Cost</t>
  </si>
  <si>
    <t>Labor_Hours</t>
  </si>
  <si>
    <t>Labor_Rate</t>
  </si>
  <si>
    <t>Total_Cost</t>
  </si>
  <si>
    <t>Claim_Status</t>
  </si>
  <si>
    <t>INV001</t>
  </si>
  <si>
    <t>INV002</t>
  </si>
  <si>
    <t>INV003</t>
  </si>
  <si>
    <t>INV004</t>
  </si>
  <si>
    <t>INV005</t>
  </si>
  <si>
    <t>INV006</t>
  </si>
  <si>
    <t>INV007</t>
  </si>
  <si>
    <t>INV008</t>
  </si>
  <si>
    <t>INV009</t>
  </si>
  <si>
    <t>INV010</t>
  </si>
  <si>
    <t>2024-01-01</t>
  </si>
  <si>
    <t>2024-01-03</t>
  </si>
  <si>
    <t>2024-01-05</t>
  </si>
  <si>
    <t>2024-01-07</t>
  </si>
  <si>
    <t>2024-01-10</t>
  </si>
  <si>
    <t>2024-01-12</t>
  </si>
  <si>
    <t>2024-01-15</t>
  </si>
  <si>
    <t>2024-01-18</t>
  </si>
  <si>
    <t>2024-01-20</t>
  </si>
  <si>
    <t>2024-01-25</t>
  </si>
  <si>
    <t>D001</t>
  </si>
  <si>
    <t>D002</t>
  </si>
  <si>
    <t>D003</t>
  </si>
  <si>
    <t>ABC123XYZ</t>
  </si>
  <si>
    <t>DEF456UVW</t>
  </si>
  <si>
    <t>JKL789NOP</t>
  </si>
  <si>
    <t>MNO321QRS</t>
  </si>
  <si>
    <t>TUV654WXY</t>
  </si>
  <si>
    <t>GHI987LMN</t>
  </si>
  <si>
    <t>QRS852TUV</t>
  </si>
  <si>
    <t>LMN159XYZ</t>
  </si>
  <si>
    <t>P1002</t>
  </si>
  <si>
    <t>P1003</t>
  </si>
  <si>
    <t>P1005</t>
  </si>
  <si>
    <t>P1006</t>
  </si>
  <si>
    <t>P1007</t>
  </si>
  <si>
    <t>P1008</t>
  </si>
  <si>
    <t>P1009</t>
  </si>
  <si>
    <t>P1010</t>
  </si>
  <si>
    <t>P1011</t>
  </si>
  <si>
    <t>P1012</t>
  </si>
  <si>
    <t>Pending</t>
  </si>
  <si>
    <t>Approved</t>
  </si>
  <si>
    <t>Missing VIN</t>
  </si>
  <si>
    <t>Zero Labor</t>
  </si>
  <si>
    <t>Total Claims</t>
  </si>
  <si>
    <t>Approved Claims</t>
  </si>
  <si>
    <t>Total Payout</t>
  </si>
  <si>
    <t>Grand Total</t>
  </si>
  <si>
    <t>Count of Invoice_ID</t>
  </si>
  <si>
    <t>(All)</t>
  </si>
  <si>
    <t>Last Updated:</t>
  </si>
  <si>
    <t xml:space="preserve">Warranty Claims Summary Dashboard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</si>
</sst>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8C8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5" fillId="3" borderId="0" xfId="0" applyFont="1" applyFill="1"/>
    <xf numFmtId="0" fontId="0" fillId="5" borderId="0" xfId="0" applyFill="1"/>
    <xf numFmtId="14" fontId="5" fillId="3" borderId="0" xfId="0" applyNumberFormat="1" applyFont="1" applyFill="1"/>
    <xf numFmtId="0" fontId="2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6" fillId="3" borderId="0" xfId="0" applyFont="1" applyFill="1"/>
    <xf numFmtId="0" fontId="0" fillId="0" borderId="0" xfId="0" applyNumberFormat="1"/>
  </cellXfs>
  <cellStyles count="1">
    <cellStyle name="Normal" xfId="0" builtinId="0"/>
  </cellStyles>
  <dxfs count="3"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[Warranty_Claim_Automation.xlsm]Sheet1!PivotTable1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Claims by Dealer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Sheet1!$A$4:$A$7</c:f>
              <c:strCache>
                <c:ptCount val="3"/>
                <c:pt idx="0">
                  <c:v>D001</c:v>
                </c:pt>
                <c:pt idx="1">
                  <c:v>D002</c:v>
                </c:pt>
                <c:pt idx="2">
                  <c:v>D003</c:v>
                </c:pt>
              </c:strCache>
            </c:strRef>
          </c:cat>
          <c:val>
            <c:numRef>
              <c:f>Sheet1!$B$4:$B$7</c:f>
              <c:numCache>
                <c:formatCode>General</c:formatCode>
                <c:ptCount val="3"/>
                <c:pt idx="0">
                  <c:v>5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0-415D-815E-DEE10C48073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57783711"/>
        <c:axId val="257779391"/>
      </c:barChart>
      <c:catAx>
        <c:axId val="2577837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779391"/>
        <c:crosses val="autoZero"/>
        <c:auto val="1"/>
        <c:lblAlgn val="ctr"/>
        <c:lblOffset val="100"/>
        <c:noMultiLvlLbl val="0"/>
      </c:catAx>
      <c:valAx>
        <c:axId val="2577793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783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[Warranty_Claim_Automation.xlsm]Sheet2!PivotTable2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Approved Claims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Sheet2!$A$4:$A$14</c:f>
              <c:strCache>
                <c:ptCount val="10"/>
                <c:pt idx="0">
                  <c:v>2024-01-01</c:v>
                </c:pt>
                <c:pt idx="1">
                  <c:v>2024-01-03</c:v>
                </c:pt>
                <c:pt idx="2">
                  <c:v>2024-01-05</c:v>
                </c:pt>
                <c:pt idx="3">
                  <c:v>2024-01-07</c:v>
                </c:pt>
                <c:pt idx="4">
                  <c:v>2024-01-10</c:v>
                </c:pt>
                <c:pt idx="5">
                  <c:v>2024-01-12</c:v>
                </c:pt>
                <c:pt idx="6">
                  <c:v>2024-01-15</c:v>
                </c:pt>
                <c:pt idx="7">
                  <c:v>2024-01-18</c:v>
                </c:pt>
                <c:pt idx="8">
                  <c:v>2024-01-20</c:v>
                </c:pt>
                <c:pt idx="9">
                  <c:v>2024-01-25</c:v>
                </c:pt>
              </c:strCache>
            </c:strRef>
          </c:cat>
          <c:val>
            <c:numRef>
              <c:f>Sheet2!$B$4:$B$14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97-4E94-ABB0-1C752A2453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86747375"/>
        <c:axId val="286743535"/>
      </c:lineChart>
      <c:catAx>
        <c:axId val="28674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743535"/>
        <c:crosses val="autoZero"/>
        <c:auto val="1"/>
        <c:lblAlgn val="ctr"/>
        <c:lblOffset val="100"/>
        <c:noMultiLvlLbl val="0"/>
      </c:catAx>
      <c:valAx>
        <c:axId val="2867435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747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17</xdr:row>
          <xdr:rowOff>152400</xdr:rowOff>
        </xdr:from>
        <xdr:to>
          <xdr:col>13</xdr:col>
          <xdr:colOff>552450</xdr:colOff>
          <xdr:row>22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Process Claims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5</xdr:col>
      <xdr:colOff>28575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B64F9A-7155-460C-BE8A-8FAB3FAFA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</xdr:colOff>
      <xdr:row>7</xdr:row>
      <xdr:rowOff>0</xdr:rowOff>
    </xdr:from>
    <xdr:to>
      <xdr:col>15</xdr:col>
      <xdr:colOff>587376</xdr:colOff>
      <xdr:row>21</xdr:row>
      <xdr:rowOff>79376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1D8F35-7FC4-4400-BCB9-E7FEC64D8F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28574</xdr:colOff>
      <xdr:row>0</xdr:row>
      <xdr:rowOff>9524</xdr:rowOff>
    </xdr:from>
    <xdr:to>
      <xdr:col>1</xdr:col>
      <xdr:colOff>900791</xdr:colOff>
      <xdr:row>0</xdr:row>
      <xdr:rowOff>2647949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CF0CDC9-C315-0931-2280-4A940FA6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" y="9524"/>
          <a:ext cx="2638425" cy="263842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thesh" refreshedDate="45839.51281886574" createdVersion="8" refreshedVersion="8" minRefreshableVersion="3" recordCount="12" xr:uid="{F62985C6-7299-47EA-B5B4-31ADAD44FBD4}">
  <cacheSource type="worksheet">
    <worksheetSource name="Table1"/>
  </cacheSource>
  <cacheFields count="10">
    <cacheField name="Invoice_ID" numFmtId="0">
      <sharedItems containsBlank="1"/>
    </cacheField>
    <cacheField name="Date" numFmtId="0">
      <sharedItems containsBlank="1" count="11">
        <s v="2024-01-01"/>
        <s v="2024-01-03"/>
        <s v="2024-01-05"/>
        <s v="2024-01-07"/>
        <s v="2024-01-10"/>
        <s v="2024-01-12"/>
        <s v="2024-01-15"/>
        <s v="2024-01-18"/>
        <s v="2024-01-20"/>
        <s v="2024-01-25"/>
        <m u="1"/>
      </sharedItems>
    </cacheField>
    <cacheField name="Dealer_ID" numFmtId="0">
      <sharedItems containsBlank="1" count="6">
        <s v="D001"/>
        <s v="D002"/>
        <s v="D003"/>
        <m u="1"/>
        <s v="D004" u="1"/>
        <s v="D005" u="1"/>
      </sharedItems>
    </cacheField>
    <cacheField name="VIN" numFmtId="0">
      <sharedItems containsBlank="1"/>
    </cacheField>
    <cacheField name="Part_Code" numFmtId="0">
      <sharedItems/>
    </cacheField>
    <cacheField name="Part_Cost" numFmtId="0">
      <sharedItems containsSemiMixedTypes="0" containsString="0" containsNumber="1" containsInteger="1" minValue="300" maxValue="600"/>
    </cacheField>
    <cacheField name="Labor_Hours" numFmtId="0">
      <sharedItems containsSemiMixedTypes="0" containsString="0" containsNumber="1" minValue="0" maxValue="4"/>
    </cacheField>
    <cacheField name="Labor_Rate" numFmtId="0">
      <sharedItems containsSemiMixedTypes="0" containsString="0" containsNumber="1" containsInteger="1" minValue="50" maxValue="90"/>
    </cacheField>
    <cacheField name="Total_Cost" numFmtId="0">
      <sharedItems containsSemiMixedTypes="0" containsString="0" containsNumber="1" minValue="350" maxValue="812.5"/>
    </cacheField>
    <cacheField name="Claim_Status" numFmtId="0">
      <sharedItems containsBlank="1" count="5">
        <s v="Pending"/>
        <s v="Approved"/>
        <s v="Missing VIN"/>
        <s v="Zero Labor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INV001"/>
    <x v="0"/>
    <x v="0"/>
    <s v="ABC123XYZ"/>
    <s v="P1002"/>
    <n v="450"/>
    <n v="2"/>
    <n v="80"/>
    <n v="610"/>
    <x v="0"/>
  </r>
  <r>
    <s v="INV002"/>
    <x v="1"/>
    <x v="1"/>
    <s v="DEF456UVW"/>
    <s v="P1003"/>
    <n v="300"/>
    <n v="1.5"/>
    <n v="90"/>
    <n v="435"/>
    <x v="1"/>
  </r>
  <r>
    <s v="INV003"/>
    <x v="2"/>
    <x v="0"/>
    <m/>
    <s v="P1005"/>
    <n v="500"/>
    <n v="3"/>
    <n v="80"/>
    <n v="740"/>
    <x v="2"/>
  </r>
  <r>
    <s v="INV004"/>
    <x v="3"/>
    <x v="2"/>
    <s v="JKL789NOP"/>
    <s v="P1006"/>
    <n v="600"/>
    <n v="2.5"/>
    <n v="85"/>
    <n v="812.5"/>
    <x v="1"/>
  </r>
  <r>
    <s v="INV005"/>
    <x v="4"/>
    <x v="1"/>
    <s v="MNO321QRS"/>
    <s v="P1007"/>
    <n v="350"/>
    <n v="0"/>
    <n v="90"/>
    <n v="350"/>
    <x v="3"/>
  </r>
  <r>
    <s v="INV006"/>
    <x v="5"/>
    <x v="0"/>
    <s v="TUV654WXY"/>
    <s v="P1008"/>
    <n v="400"/>
    <n v="2"/>
    <n v="80"/>
    <n v="560"/>
    <x v="0"/>
  </r>
  <r>
    <s v="INV007"/>
    <x v="6"/>
    <x v="2"/>
    <s v="GHI987LMN"/>
    <s v="P1009"/>
    <n v="380"/>
    <n v="1"/>
    <n v="75"/>
    <n v="455"/>
    <x v="1"/>
  </r>
  <r>
    <s v="INV008"/>
    <x v="7"/>
    <x v="1"/>
    <m/>
    <s v="P1010"/>
    <n v="420"/>
    <n v="2"/>
    <n v="85"/>
    <n v="590"/>
    <x v="2"/>
  </r>
  <r>
    <s v="INV009"/>
    <x v="8"/>
    <x v="2"/>
    <s v="QRS852TUV"/>
    <s v="P1011"/>
    <n v="460"/>
    <n v="2"/>
    <n v="90"/>
    <n v="640"/>
    <x v="0"/>
  </r>
  <r>
    <s v="INV010"/>
    <x v="9"/>
    <x v="0"/>
    <s v="LMN159XYZ"/>
    <s v="P1012"/>
    <n v="390"/>
    <n v="0"/>
    <n v="80"/>
    <n v="390"/>
    <x v="3"/>
  </r>
  <r>
    <s v="INV010"/>
    <x v="9"/>
    <x v="0"/>
    <m/>
    <s v="P1012"/>
    <n v="390"/>
    <n v="0"/>
    <n v="80"/>
    <n v="390"/>
    <x v="2"/>
  </r>
  <r>
    <m/>
    <x v="9"/>
    <x v="2"/>
    <s v="LMN159XYZ"/>
    <s v="P1012"/>
    <n v="400"/>
    <n v="4"/>
    <n v="50"/>
    <n v="6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99D640-6552-4896-BDC0-836279DEADED}" name="PivotTable1" cacheId="10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 rowHeaderCaption="Dealer_ID">
  <location ref="A3:B7" firstHeaderRow="1" firstDataRow="1" firstDataCol="1"/>
  <pivotFields count="10">
    <pivotField dataField="1" showAll="0"/>
    <pivotField showAll="0"/>
    <pivotField axis="axisRow" showAll="0">
      <items count="7">
        <item x="0"/>
        <item x="1"/>
        <item x="2"/>
        <item m="1" x="4"/>
        <item m="1" x="5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Invoice_ID" fld="0" subtotal="count" baseField="0" baseItem="0"/>
  </dataFields>
  <chartFormats count="1"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6590FA-57F7-497A-BA0C-B9CEBCDC727D}" name="PivotTable2" cacheId="10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 rowHeaderCaption="Date">
  <location ref="A3:B14" firstHeaderRow="1" firstDataRow="1" firstDataCol="1" rowPageCount="1" colPageCount="1"/>
  <pivotFields count="10">
    <pivotField dataField="1" showAll="0"/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6">
        <item x="1"/>
        <item x="2"/>
        <item x="0"/>
        <item x="3"/>
        <item m="1" x="4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9" hier="-1"/>
  </pageFields>
  <dataFields count="1">
    <dataField name="Count of Invoice_ID" fld="0" subtotal="count" baseField="0" baseItem="0"/>
  </dataFields>
  <chartFormats count="1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F3227C-2313-4018-AED3-E690DA959AB4}" name="Table1" displayName="Table1" ref="A1:J13" totalsRowShown="0" headerRowDxfId="2" headerRowBorderDxfId="0" tableBorderDxfId="1">
  <autoFilter ref="A1:J13" xr:uid="{6AF3227C-2313-4018-AED3-E690DA959AB4}"/>
  <tableColumns count="10">
    <tableColumn id="1" xr3:uid="{954CA7BB-93F1-40F2-8BCE-24CE68A4C4B7}" name="Invoice_ID"/>
    <tableColumn id="2" xr3:uid="{DB0A3C61-F55A-4C81-9215-5F5A3856A5EC}" name="Date"/>
    <tableColumn id="3" xr3:uid="{6CCB2C2F-FB1F-40C5-9D9B-7B9EC40DCDA2}" name="Dealer_ID"/>
    <tableColumn id="4" xr3:uid="{43B6CB4C-CBD5-4A0B-AFA7-C4034FA9F917}" name="VIN"/>
    <tableColumn id="5" xr3:uid="{1F84AF43-2D48-426B-B36E-CE213B1E41CD}" name="Part_Code"/>
    <tableColumn id="6" xr3:uid="{358BD2B2-5E04-4F3C-8C38-EC7052AAD471}" name="Part_Cost"/>
    <tableColumn id="7" xr3:uid="{F52F45AF-34A2-40E6-80F8-8ADC4F64BBF3}" name="Labor_Hours"/>
    <tableColumn id="8" xr3:uid="{87CA1FD8-FB00-45B6-A4E3-FC7F9964B5DD}" name="Labor_Rate"/>
    <tableColumn id="9" xr3:uid="{B0FD3447-74E0-4A3F-8669-72558427518F}" name="Total_Cost">
      <calculatedColumnFormula>F2 + (G2 * H2)</calculatedColumnFormula>
    </tableColumn>
    <tableColumn id="10" xr3:uid="{4E4918D8-2E31-448C-9713-3E22EE7CEAF9}" name="Claim_Statu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82E45-1B26-468B-A6AA-2E5D8847763E}">
  <sheetPr codeName="Sheet4"/>
  <dimension ref="A3:B7"/>
  <sheetViews>
    <sheetView workbookViewId="0">
      <selection activeCell="D14" sqref="D14"/>
    </sheetView>
  </sheetViews>
  <sheetFormatPr defaultRowHeight="15" x14ac:dyDescent="0.25"/>
  <cols>
    <col min="1" max="1" width="12" bestFit="1" customWidth="1"/>
    <col min="2" max="2" width="18.5703125" bestFit="1" customWidth="1"/>
  </cols>
  <sheetData>
    <row r="3" spans="1:2" x14ac:dyDescent="0.25">
      <c r="A3" s="3" t="s">
        <v>2</v>
      </c>
      <c r="B3" t="s">
        <v>59</v>
      </c>
    </row>
    <row r="4" spans="1:2" x14ac:dyDescent="0.25">
      <c r="A4" s="4" t="s">
        <v>30</v>
      </c>
      <c r="B4" s="14">
        <v>5</v>
      </c>
    </row>
    <row r="5" spans="1:2" x14ac:dyDescent="0.25">
      <c r="A5" s="4" t="s">
        <v>31</v>
      </c>
      <c r="B5" s="14">
        <v>3</v>
      </c>
    </row>
    <row r="6" spans="1:2" x14ac:dyDescent="0.25">
      <c r="A6" s="4" t="s">
        <v>32</v>
      </c>
      <c r="B6" s="14">
        <v>3</v>
      </c>
    </row>
    <row r="7" spans="1:2" x14ac:dyDescent="0.25">
      <c r="A7" s="4" t="s">
        <v>58</v>
      </c>
      <c r="B7" s="14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3632B-4A84-44BA-9E56-12B347ED1505}">
  <sheetPr codeName="Sheet5"/>
  <dimension ref="A1:B14"/>
  <sheetViews>
    <sheetView workbookViewId="0">
      <selection activeCell="A3" sqref="A3"/>
    </sheetView>
  </sheetViews>
  <sheetFormatPr defaultRowHeight="15" x14ac:dyDescent="0.25"/>
  <cols>
    <col min="1" max="1" width="12.42578125" bestFit="1" customWidth="1"/>
    <col min="2" max="2" width="18.5703125" bestFit="1" customWidth="1"/>
  </cols>
  <sheetData>
    <row r="1" spans="1:2" x14ac:dyDescent="0.25">
      <c r="A1" s="3" t="s">
        <v>9</v>
      </c>
      <c r="B1" t="s">
        <v>60</v>
      </c>
    </row>
    <row r="3" spans="1:2" x14ac:dyDescent="0.25">
      <c r="A3" s="3" t="s">
        <v>1</v>
      </c>
      <c r="B3" t="s">
        <v>59</v>
      </c>
    </row>
    <row r="4" spans="1:2" x14ac:dyDescent="0.25">
      <c r="A4" s="4" t="s">
        <v>20</v>
      </c>
      <c r="B4" s="14">
        <v>1</v>
      </c>
    </row>
    <row r="5" spans="1:2" x14ac:dyDescent="0.25">
      <c r="A5" s="4" t="s">
        <v>21</v>
      </c>
      <c r="B5" s="14">
        <v>1</v>
      </c>
    </row>
    <row r="6" spans="1:2" x14ac:dyDescent="0.25">
      <c r="A6" s="4" t="s">
        <v>22</v>
      </c>
      <c r="B6" s="14">
        <v>1</v>
      </c>
    </row>
    <row r="7" spans="1:2" x14ac:dyDescent="0.25">
      <c r="A7" s="4" t="s">
        <v>23</v>
      </c>
      <c r="B7" s="14">
        <v>1</v>
      </c>
    </row>
    <row r="8" spans="1:2" x14ac:dyDescent="0.25">
      <c r="A8" s="4" t="s">
        <v>24</v>
      </c>
      <c r="B8" s="14">
        <v>1</v>
      </c>
    </row>
    <row r="9" spans="1:2" x14ac:dyDescent="0.25">
      <c r="A9" s="4" t="s">
        <v>25</v>
      </c>
      <c r="B9" s="14">
        <v>1</v>
      </c>
    </row>
    <row r="10" spans="1:2" x14ac:dyDescent="0.25">
      <c r="A10" s="4" t="s">
        <v>26</v>
      </c>
      <c r="B10" s="14">
        <v>1</v>
      </c>
    </row>
    <row r="11" spans="1:2" x14ac:dyDescent="0.25">
      <c r="A11" s="4" t="s">
        <v>27</v>
      </c>
      <c r="B11" s="14">
        <v>1</v>
      </c>
    </row>
    <row r="12" spans="1:2" x14ac:dyDescent="0.25">
      <c r="A12" s="4" t="s">
        <v>28</v>
      </c>
      <c r="B12" s="14">
        <v>1</v>
      </c>
    </row>
    <row r="13" spans="1:2" x14ac:dyDescent="0.25">
      <c r="A13" s="4" t="s">
        <v>29</v>
      </c>
      <c r="B13" s="14">
        <v>2</v>
      </c>
    </row>
    <row r="14" spans="1:2" x14ac:dyDescent="0.25">
      <c r="A14" s="4" t="s">
        <v>58</v>
      </c>
      <c r="B14" s="14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3"/>
  <sheetViews>
    <sheetView topLeftCell="B1" workbookViewId="0">
      <selection activeCell="J13" sqref="J13"/>
    </sheetView>
  </sheetViews>
  <sheetFormatPr defaultRowHeight="15" x14ac:dyDescent="0.25"/>
  <cols>
    <col min="1" max="1" width="14.85546875" bestFit="1" customWidth="1"/>
    <col min="2" max="2" width="10.42578125" bestFit="1" customWidth="1"/>
    <col min="3" max="3" width="14.28515625" bestFit="1" customWidth="1"/>
    <col min="4" max="4" width="12.140625" bestFit="1" customWidth="1"/>
    <col min="5" max="5" width="14.7109375" bestFit="1" customWidth="1"/>
    <col min="6" max="6" width="14" bestFit="1" customWidth="1"/>
    <col min="7" max="7" width="16.5703125" bestFit="1" customWidth="1"/>
    <col min="8" max="8" width="15.42578125" bestFit="1" customWidth="1"/>
    <col min="9" max="9" width="14.85546875" bestFit="1" customWidth="1"/>
    <col min="10" max="10" width="17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25">
      <c r="A2" t="s">
        <v>10</v>
      </c>
      <c r="B2" t="s">
        <v>20</v>
      </c>
      <c r="C2" t="s">
        <v>30</v>
      </c>
      <c r="D2" t="s">
        <v>33</v>
      </c>
      <c r="E2" t="s">
        <v>41</v>
      </c>
      <c r="F2">
        <v>450</v>
      </c>
      <c r="G2">
        <v>2</v>
      </c>
      <c r="H2">
        <v>80</v>
      </c>
      <c r="I2">
        <f>F2 + (G2 * H2)</f>
        <v>610</v>
      </c>
      <c r="J2" t="s">
        <v>51</v>
      </c>
    </row>
    <row r="3" spans="1:10" x14ac:dyDescent="0.25">
      <c r="A3" t="s">
        <v>11</v>
      </c>
      <c r="B3" t="s">
        <v>21</v>
      </c>
      <c r="C3" t="s">
        <v>31</v>
      </c>
      <c r="D3" t="s">
        <v>34</v>
      </c>
      <c r="E3" t="s">
        <v>42</v>
      </c>
      <c r="F3">
        <v>300</v>
      </c>
      <c r="G3">
        <v>1.5</v>
      </c>
      <c r="H3">
        <v>90</v>
      </c>
      <c r="I3">
        <f t="shared" ref="I3:I11" si="0">F3 + (G3 * H3)</f>
        <v>435</v>
      </c>
      <c r="J3" t="s">
        <v>52</v>
      </c>
    </row>
    <row r="4" spans="1:10" s="2" customFormat="1" x14ac:dyDescent="0.25">
      <c r="A4" s="2" t="s">
        <v>12</v>
      </c>
      <c r="B4" s="2" t="s">
        <v>22</v>
      </c>
      <c r="C4" s="2" t="s">
        <v>30</v>
      </c>
      <c r="E4" s="2" t="s">
        <v>43</v>
      </c>
      <c r="F4" s="2">
        <v>500</v>
      </c>
      <c r="G4" s="2">
        <v>3</v>
      </c>
      <c r="H4" s="2">
        <v>80</v>
      </c>
      <c r="I4" s="2">
        <f t="shared" si="0"/>
        <v>740</v>
      </c>
      <c r="J4" s="2" t="s">
        <v>53</v>
      </c>
    </row>
    <row r="5" spans="1:10" x14ac:dyDescent="0.25">
      <c r="A5" t="s">
        <v>13</v>
      </c>
      <c r="B5" t="s">
        <v>23</v>
      </c>
      <c r="C5" t="s">
        <v>32</v>
      </c>
      <c r="D5" t="s">
        <v>35</v>
      </c>
      <c r="E5" t="s">
        <v>44</v>
      </c>
      <c r="F5">
        <v>600</v>
      </c>
      <c r="G5">
        <v>2.5</v>
      </c>
      <c r="H5">
        <v>85</v>
      </c>
      <c r="I5">
        <f t="shared" si="0"/>
        <v>812.5</v>
      </c>
      <c r="J5" t="s">
        <v>52</v>
      </c>
    </row>
    <row r="6" spans="1:10" x14ac:dyDescent="0.25">
      <c r="A6" t="s">
        <v>14</v>
      </c>
      <c r="B6" t="s">
        <v>24</v>
      </c>
      <c r="C6" t="s">
        <v>31</v>
      </c>
      <c r="D6" t="s">
        <v>36</v>
      </c>
      <c r="E6" t="s">
        <v>45</v>
      </c>
      <c r="F6">
        <v>350</v>
      </c>
      <c r="G6">
        <v>0</v>
      </c>
      <c r="H6">
        <v>90</v>
      </c>
      <c r="I6">
        <f t="shared" si="0"/>
        <v>350</v>
      </c>
      <c r="J6" t="s">
        <v>54</v>
      </c>
    </row>
    <row r="7" spans="1:10" x14ac:dyDescent="0.25">
      <c r="A7" t="s">
        <v>15</v>
      </c>
      <c r="B7" t="s">
        <v>25</v>
      </c>
      <c r="C7" t="s">
        <v>30</v>
      </c>
      <c r="D7" t="s">
        <v>37</v>
      </c>
      <c r="E7" t="s">
        <v>46</v>
      </c>
      <c r="F7">
        <v>400</v>
      </c>
      <c r="G7">
        <v>2</v>
      </c>
      <c r="H7">
        <v>80</v>
      </c>
      <c r="I7">
        <f t="shared" si="0"/>
        <v>560</v>
      </c>
      <c r="J7" t="s">
        <v>51</v>
      </c>
    </row>
    <row r="8" spans="1:10" x14ac:dyDescent="0.25">
      <c r="A8" t="s">
        <v>16</v>
      </c>
      <c r="B8" t="s">
        <v>26</v>
      </c>
      <c r="C8" t="s">
        <v>32</v>
      </c>
      <c r="D8" t="s">
        <v>38</v>
      </c>
      <c r="E8" t="s">
        <v>47</v>
      </c>
      <c r="F8">
        <v>380</v>
      </c>
      <c r="G8">
        <v>1</v>
      </c>
      <c r="H8">
        <v>75</v>
      </c>
      <c r="I8">
        <f t="shared" si="0"/>
        <v>455</v>
      </c>
      <c r="J8" t="s">
        <v>52</v>
      </c>
    </row>
    <row r="9" spans="1:10" s="2" customFormat="1" x14ac:dyDescent="0.25">
      <c r="A9" s="2" t="s">
        <v>17</v>
      </c>
      <c r="B9" s="2" t="s">
        <v>27</v>
      </c>
      <c r="C9" s="2" t="s">
        <v>31</v>
      </c>
      <c r="E9" s="2" t="s">
        <v>48</v>
      </c>
      <c r="F9" s="2">
        <v>420</v>
      </c>
      <c r="G9" s="2">
        <v>2</v>
      </c>
      <c r="H9" s="2">
        <v>85</v>
      </c>
      <c r="I9" s="2">
        <f t="shared" si="0"/>
        <v>590</v>
      </c>
      <c r="J9" s="2" t="s">
        <v>53</v>
      </c>
    </row>
    <row r="10" spans="1:10" x14ac:dyDescent="0.25">
      <c r="A10" t="s">
        <v>18</v>
      </c>
      <c r="B10" t="s">
        <v>28</v>
      </c>
      <c r="C10" t="s">
        <v>32</v>
      </c>
      <c r="D10" t="s">
        <v>39</v>
      </c>
      <c r="E10" t="s">
        <v>49</v>
      </c>
      <c r="F10">
        <v>460</v>
      </c>
      <c r="G10">
        <v>2</v>
      </c>
      <c r="H10">
        <v>90</v>
      </c>
      <c r="I10">
        <f t="shared" si="0"/>
        <v>640</v>
      </c>
      <c r="J10" t="s">
        <v>51</v>
      </c>
    </row>
    <row r="11" spans="1:10" x14ac:dyDescent="0.25">
      <c r="A11" t="s">
        <v>19</v>
      </c>
      <c r="B11" t="s">
        <v>29</v>
      </c>
      <c r="C11" t="s">
        <v>30</v>
      </c>
      <c r="D11" t="s">
        <v>40</v>
      </c>
      <c r="E11" t="s">
        <v>50</v>
      </c>
      <c r="F11">
        <v>390</v>
      </c>
      <c r="G11">
        <v>0</v>
      </c>
      <c r="H11">
        <v>80</v>
      </c>
      <c r="I11">
        <f t="shared" si="0"/>
        <v>390</v>
      </c>
      <c r="J11" t="s">
        <v>54</v>
      </c>
    </row>
    <row r="12" spans="1:10" s="2" customFormat="1" x14ac:dyDescent="0.25">
      <c r="A12" s="2" t="s">
        <v>19</v>
      </c>
      <c r="B12" s="2" t="s">
        <v>29</v>
      </c>
      <c r="C12" s="2" t="s">
        <v>30</v>
      </c>
      <c r="E12" s="2" t="s">
        <v>50</v>
      </c>
      <c r="F12" s="2">
        <v>390</v>
      </c>
      <c r="G12" s="2">
        <v>0</v>
      </c>
      <c r="H12" s="2">
        <v>80</v>
      </c>
      <c r="I12" s="2">
        <f t="shared" ref="I12:I13" si="1">F12 + (G12 * H12)</f>
        <v>390</v>
      </c>
      <c r="J12" s="2" t="s">
        <v>53</v>
      </c>
    </row>
    <row r="13" spans="1:10" x14ac:dyDescent="0.25">
      <c r="B13" t="s">
        <v>29</v>
      </c>
      <c r="C13" t="s">
        <v>32</v>
      </c>
      <c r="D13" t="s">
        <v>40</v>
      </c>
      <c r="E13" t="s">
        <v>50</v>
      </c>
      <c r="F13">
        <v>400</v>
      </c>
      <c r="G13">
        <v>4</v>
      </c>
      <c r="H13">
        <v>50</v>
      </c>
      <c r="I13">
        <f t="shared" si="1"/>
        <v>600</v>
      </c>
      <c r="J13" t="s">
        <v>52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Claims">
                <anchor moveWithCells="1" sizeWithCells="1">
                  <from>
                    <xdr:col>10</xdr:col>
                    <xdr:colOff>123825</xdr:colOff>
                    <xdr:row>17</xdr:row>
                    <xdr:rowOff>152400</xdr:rowOff>
                  </from>
                  <to>
                    <xdr:col>13</xdr:col>
                    <xdr:colOff>552450</xdr:colOff>
                    <xdr:row>22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B7B2-9040-45D0-B3D8-0069128751DC}">
  <sheetPr codeName="Sheet2"/>
  <dimension ref="A1:J10"/>
  <sheetViews>
    <sheetView workbookViewId="0">
      <selection activeCell="L9" sqref="L9"/>
    </sheetView>
  </sheetViews>
  <sheetFormatPr defaultRowHeight="15" x14ac:dyDescent="0.25"/>
  <cols>
    <col min="1" max="1" width="14.85546875" bestFit="1" customWidth="1"/>
    <col min="2" max="2" width="10.42578125" bestFit="1" customWidth="1"/>
    <col min="3" max="3" width="14.28515625" bestFit="1" customWidth="1"/>
    <col min="4" max="4" width="12.140625" bestFit="1" customWidth="1"/>
    <col min="5" max="5" width="14.7109375" bestFit="1" customWidth="1"/>
    <col min="6" max="6" width="14" bestFit="1" customWidth="1"/>
    <col min="7" max="7" width="16.5703125" bestFit="1" customWidth="1"/>
    <col min="8" max="8" width="15.42578125" bestFit="1" customWidth="1"/>
    <col min="9" max="9" width="14.85546875" bestFit="1" customWidth="1"/>
    <col min="10" max="10" width="17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25">
      <c r="A2" t="s">
        <v>10</v>
      </c>
      <c r="B2" t="s">
        <v>20</v>
      </c>
      <c r="C2" t="s">
        <v>30</v>
      </c>
      <c r="D2" t="s">
        <v>33</v>
      </c>
      <c r="E2" t="s">
        <v>41</v>
      </c>
      <c r="F2">
        <v>450</v>
      </c>
      <c r="G2">
        <v>2</v>
      </c>
      <c r="H2">
        <v>80</v>
      </c>
      <c r="I2">
        <f>F2 + (G2 * H2)</f>
        <v>610</v>
      </c>
      <c r="J2" t="s">
        <v>51</v>
      </c>
    </row>
    <row r="3" spans="1:10" x14ac:dyDescent="0.25">
      <c r="A3" t="s">
        <v>11</v>
      </c>
      <c r="B3" t="s">
        <v>21</v>
      </c>
      <c r="C3" t="s">
        <v>31</v>
      </c>
      <c r="D3" t="s">
        <v>34</v>
      </c>
      <c r="E3" t="s">
        <v>42</v>
      </c>
      <c r="F3">
        <v>300</v>
      </c>
      <c r="G3">
        <v>1.5</v>
      </c>
      <c r="H3">
        <v>90</v>
      </c>
      <c r="I3">
        <f t="shared" ref="I3:I10" si="0">F3 + (G3 * H3)</f>
        <v>435</v>
      </c>
      <c r="J3" t="s">
        <v>52</v>
      </c>
    </row>
    <row r="4" spans="1:10" x14ac:dyDescent="0.25">
      <c r="A4" t="s">
        <v>13</v>
      </c>
      <c r="B4" t="s">
        <v>23</v>
      </c>
      <c r="C4" t="s">
        <v>32</v>
      </c>
      <c r="D4" t="s">
        <v>35</v>
      </c>
      <c r="E4" t="s">
        <v>44</v>
      </c>
      <c r="F4">
        <v>600</v>
      </c>
      <c r="G4">
        <v>2.5</v>
      </c>
      <c r="H4">
        <v>85</v>
      </c>
      <c r="I4">
        <f t="shared" si="0"/>
        <v>812.5</v>
      </c>
      <c r="J4" t="s">
        <v>52</v>
      </c>
    </row>
    <row r="5" spans="1:10" x14ac:dyDescent="0.25">
      <c r="A5" t="s">
        <v>14</v>
      </c>
      <c r="B5" t="s">
        <v>24</v>
      </c>
      <c r="C5" t="s">
        <v>31</v>
      </c>
      <c r="D5" t="s">
        <v>36</v>
      </c>
      <c r="E5" t="s">
        <v>45</v>
      </c>
      <c r="F5">
        <v>350</v>
      </c>
      <c r="G5">
        <v>0</v>
      </c>
      <c r="H5">
        <v>90</v>
      </c>
      <c r="I5">
        <f t="shared" si="0"/>
        <v>350</v>
      </c>
      <c r="J5" t="s">
        <v>54</v>
      </c>
    </row>
    <row r="6" spans="1:10" x14ac:dyDescent="0.25">
      <c r="A6" t="s">
        <v>15</v>
      </c>
      <c r="B6" t="s">
        <v>25</v>
      </c>
      <c r="C6" t="s">
        <v>30</v>
      </c>
      <c r="D6" t="s">
        <v>37</v>
      </c>
      <c r="E6" t="s">
        <v>46</v>
      </c>
      <c r="F6">
        <v>400</v>
      </c>
      <c r="G6">
        <v>2</v>
      </c>
      <c r="H6">
        <v>80</v>
      </c>
      <c r="I6">
        <f t="shared" si="0"/>
        <v>560</v>
      </c>
      <c r="J6" t="s">
        <v>51</v>
      </c>
    </row>
    <row r="7" spans="1:10" x14ac:dyDescent="0.25">
      <c r="A7" t="s">
        <v>16</v>
      </c>
      <c r="B7" t="s">
        <v>26</v>
      </c>
      <c r="C7" t="s">
        <v>32</v>
      </c>
      <c r="D7" t="s">
        <v>38</v>
      </c>
      <c r="E7" t="s">
        <v>47</v>
      </c>
      <c r="F7">
        <v>380</v>
      </c>
      <c r="G7">
        <v>1</v>
      </c>
      <c r="H7">
        <v>75</v>
      </c>
      <c r="I7">
        <f t="shared" si="0"/>
        <v>455</v>
      </c>
      <c r="J7" t="s">
        <v>52</v>
      </c>
    </row>
    <row r="8" spans="1:10" x14ac:dyDescent="0.25">
      <c r="A8" t="s">
        <v>18</v>
      </c>
      <c r="B8" t="s">
        <v>28</v>
      </c>
      <c r="C8" t="s">
        <v>32</v>
      </c>
      <c r="D8" t="s">
        <v>39</v>
      </c>
      <c r="E8" t="s">
        <v>49</v>
      </c>
      <c r="F8">
        <v>460</v>
      </c>
      <c r="G8">
        <v>2</v>
      </c>
      <c r="H8">
        <v>90</v>
      </c>
      <c r="I8">
        <f t="shared" si="0"/>
        <v>640</v>
      </c>
      <c r="J8" t="s">
        <v>51</v>
      </c>
    </row>
    <row r="9" spans="1:10" x14ac:dyDescent="0.25">
      <c r="A9" t="s">
        <v>19</v>
      </c>
      <c r="B9" t="s">
        <v>29</v>
      </c>
      <c r="C9" t="s">
        <v>30</v>
      </c>
      <c r="D9" t="s">
        <v>40</v>
      </c>
      <c r="E9" t="s">
        <v>50</v>
      </c>
      <c r="F9">
        <v>390</v>
      </c>
      <c r="G9">
        <v>0</v>
      </c>
      <c r="H9">
        <v>80</v>
      </c>
      <c r="I9">
        <f t="shared" si="0"/>
        <v>390</v>
      </c>
      <c r="J9" t="s">
        <v>54</v>
      </c>
    </row>
    <row r="10" spans="1:10" x14ac:dyDescent="0.25">
      <c r="B10" t="s">
        <v>29</v>
      </c>
      <c r="C10" t="s">
        <v>32</v>
      </c>
      <c r="D10" t="s">
        <v>40</v>
      </c>
      <c r="E10" t="s">
        <v>50</v>
      </c>
      <c r="F10">
        <v>400</v>
      </c>
      <c r="G10">
        <v>4</v>
      </c>
      <c r="H10">
        <v>50</v>
      </c>
      <c r="I10">
        <f t="shared" si="0"/>
        <v>600</v>
      </c>
      <c r="J10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EAD9-D9B5-4214-A9E9-060D6576AE83}">
  <sheetPr codeName="Sheet3"/>
  <dimension ref="A1:P30"/>
  <sheetViews>
    <sheetView showGridLines="0" tabSelected="1" zoomScale="60" zoomScaleNormal="60" workbookViewId="0">
      <selection activeCell="U25" sqref="U25"/>
    </sheetView>
  </sheetViews>
  <sheetFormatPr defaultRowHeight="15" x14ac:dyDescent="0.25"/>
  <cols>
    <col min="1" max="1" width="26.42578125" customWidth="1"/>
    <col min="2" max="2" width="34.5703125" customWidth="1"/>
    <col min="3" max="3" width="57.5703125" customWidth="1"/>
  </cols>
  <sheetData>
    <row r="1" spans="1:16" ht="208.5" customHeight="1" x14ac:dyDescent="0.25">
      <c r="A1" s="6"/>
      <c r="B1" s="6"/>
      <c r="C1" s="12" t="s">
        <v>62</v>
      </c>
      <c r="D1" s="11"/>
      <c r="E1" s="11"/>
      <c r="F1" s="11"/>
      <c r="G1" s="11"/>
      <c r="H1" s="11"/>
      <c r="I1" s="11"/>
      <c r="J1" s="11"/>
      <c r="K1" s="11"/>
      <c r="L1" s="6"/>
      <c r="M1" s="6"/>
      <c r="N1" s="6"/>
      <c r="O1" s="6"/>
      <c r="P1" s="6"/>
    </row>
    <row r="2" spans="1:16" ht="31.5" x14ac:dyDescent="0.5">
      <c r="A2" s="7" t="s">
        <v>55</v>
      </c>
      <c r="B2" s="7" t="s">
        <v>56</v>
      </c>
      <c r="C2" s="7" t="s">
        <v>57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</row>
    <row r="3" spans="1:16" ht="92.25" x14ac:dyDescent="1.35">
      <c r="A3" s="13">
        <f>COUNTA(Raw_Invoices!A2:A98)</f>
        <v>11</v>
      </c>
      <c r="B3" s="13">
        <f>COUNTIF(Raw_Invoices!J2:J98, "Approved")</f>
        <v>4</v>
      </c>
      <c r="C3" s="13">
        <f>SUMIFS(Raw_Invoices!I2:I98, Raw_Invoices!J2:J98, "Approved")</f>
        <v>2302.5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</row>
    <row r="4" spans="1:16" x14ac:dyDescent="0.25">
      <c r="A4" s="5"/>
      <c r="B4" s="5"/>
      <c r="C4" s="5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</row>
    <row r="5" spans="1:16" x14ac:dyDescent="0.25">
      <c r="A5" s="5"/>
      <c r="B5" s="5"/>
      <c r="C5" s="5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 x14ac:dyDescent="0.25">
      <c r="A6" s="5"/>
      <c r="B6" s="5"/>
      <c r="C6" s="5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</row>
    <row r="7" spans="1:16" x14ac:dyDescent="0.25">
      <c r="A7" s="5"/>
      <c r="B7" s="5"/>
      <c r="C7" s="5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</row>
    <row r="8" spans="1:16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</row>
    <row r="9" spans="1:16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</row>
    <row r="10" spans="1:16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spans="1:16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</row>
    <row r="12" spans="1:16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</row>
    <row r="13" spans="1:16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</row>
    <row r="14" spans="1:16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</row>
    <row r="15" spans="1:16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6" spans="1:16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</row>
    <row r="17" spans="1:16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</row>
    <row r="18" spans="1:16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spans="1:16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</row>
    <row r="20" spans="1:16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</row>
    <row r="21" spans="1:16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</row>
    <row r="22" spans="1:16" x14ac:dyDescent="0.25">
      <c r="A22" s="5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</row>
    <row r="23" spans="1:16" ht="49.5" customHeight="1" x14ac:dyDescent="0.35">
      <c r="A23" s="8" t="s">
        <v>61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</row>
    <row r="24" spans="1:16" ht="30.75" customHeight="1" x14ac:dyDescent="0.35">
      <c r="A24" s="10">
        <f ca="1">TODAY()</f>
        <v>45839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</row>
    <row r="25" spans="1:16" x14ac:dyDescent="0.25">
      <c r="A25" s="5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</row>
    <row r="26" spans="1:16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</row>
    <row r="27" spans="1:16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</row>
    <row r="28" spans="1:16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</row>
    <row r="29" spans="1:16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</row>
    <row r="30" spans="1:16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Raw_Invoices</vt:lpstr>
      <vt:lpstr>Submission_Report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Rajathesh</dc:creator>
  <cp:lastModifiedBy>rajathesh hm</cp:lastModifiedBy>
  <dcterms:created xsi:type="dcterms:W3CDTF">2025-07-01T05:16:18Z</dcterms:created>
  <dcterms:modified xsi:type="dcterms:W3CDTF">2025-07-01T06:48:45Z</dcterms:modified>
</cp:coreProperties>
</file>